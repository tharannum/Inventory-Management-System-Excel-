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xr:revisionPtr revIDLastSave="0" documentId="13_ncr:1_{15068112-D6DA-4690-B8A5-DF8919A982D2}" xr6:coauthVersionLast="47" xr6:coauthVersionMax="47" xr10:uidLastSave="{00000000-0000-0000-0000-000000000000}"/>
  <bookViews>
    <workbookView showSheetTabs="0" xWindow="-110" yWindow="-110" windowWidth="19420" windowHeight="11020" tabRatio="836" xr2:uid="{B430F305-06C2-4799-BE7C-6E9D28374C77}"/>
  </bookViews>
  <sheets>
    <sheet name="Dashboard" sheetId="1" r:id="rId1"/>
    <sheet name="Sheet9" sheetId="9" r:id="rId2"/>
    <sheet name="Customers" sheetId="2" r:id="rId3"/>
    <sheet name="Vendors" sheetId="3" r:id="rId4"/>
    <sheet name="Products" sheetId="4" r:id="rId5"/>
    <sheet name="New Entry" sheetId="5" r:id="rId6"/>
    <sheet name="Purchase" sheetId="6" r:id="rId7"/>
    <sheet name="Sales" sheetId="7" r:id="rId8"/>
    <sheet name="Inventory" sheetId="8" r:id="rId9"/>
  </sheets>
  <definedNames>
    <definedName name="Cust_ID">customersdata[Cust_ID]</definedName>
    <definedName name="HSNCode">Table4[HSN Code]</definedName>
  </definedNames>
  <calcPr calcId="191029"/>
  <pivotCaches>
    <pivotCache cacheId="8" r:id="rId10"/>
    <pivotCache cacheId="13" r:id="rId11"/>
    <pivotCache cacheId="16" r:id="rId12"/>
    <pivotCache cacheId="19" r:id="rId13"/>
    <pivotCache cacheId="22" r:id="rId14"/>
    <pivotCache cacheId="2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I20" i="6"/>
  <c r="I21" i="6"/>
  <c r="I22" i="6"/>
  <c r="J19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<sst xmlns="http://schemas.openxmlformats.org/spreadsheetml/2006/main" count="205" uniqueCount="95">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</sst>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₹&quot;\ * #,##0_ ;_ &quot;₹&quot;\ * \-#,##0_ ;_ &quot;₹&quot;\ * &quot;-&quot;_ ;_ @_ "/>
    <numFmt numFmtId="164" formatCode="&quot;₹&quot;\ #,##0"/>
  </numFmts>
  <fonts count="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2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5" borderId="0" xfId="0" applyFill="1"/>
    <xf numFmtId="4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" fillId="4" borderId="4" xfId="0" applyFont="1" applyFill="1" applyBorder="1"/>
    <xf numFmtId="164" fontId="2" fillId="2" borderId="0" xfId="0" applyNumberFormat="1" applyFont="1" applyFill="1"/>
    <xf numFmtId="0" fontId="0" fillId="0" borderId="0" xfId="0" applyNumberFormat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₹&quot;\ #,##0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software by deepak eduworld.xlsx]Sheet9!PivotTable19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 - Deepak EduWorld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Purchase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Sheet9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Sheet9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Sheet9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55,43,995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Sheet9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30,71,878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Sheet9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5,11,980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Sheet9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29,84,097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42">
      <sharedItems containsMixedTypes="1" containsNumber="1" minValue="408" maxValue="62400"/>
    </cacheField>
    <cacheField name="Amount" numFmtId="42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42">
      <sharedItems containsMixedTypes="1" containsNumber="1" containsInteger="1" minValue="200" maxValue="52000"/>
    </cacheField>
    <cacheField name="Amount" numFmtId="42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42">
      <sharedItems containsSemiMixedTypes="0" containsString="0" containsNumber="1" containsInteger="1" minValue="200" maxValue="52000"/>
    </cacheField>
    <cacheField name="Selling Price" numFmtId="42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42" showAll="0"/>
    <pivotField numFmtId="42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6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42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8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2" showAll="0"/>
    <pivotField numFmtId="42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47" dataDxfId="46">
  <autoFilter ref="D5:G12" xr:uid="{0D8EDAF4-9F55-4D95-8363-29B2401224DA}"/>
  <tableColumns count="4">
    <tableColumn id="1" xr3:uid="{A028F778-FAE2-4DA3-9E91-62E658D36DF6}" name="Cust_ID" dataDxfId="45"/>
    <tableColumn id="2" xr3:uid="{BCB3C8F0-9DF4-4900-8C66-81EE87B434F8}" name="Name" dataDxfId="44"/>
    <tableColumn id="3" xr3:uid="{FE0BAB7F-3A2F-433A-9582-E73617E2FB67}" name="Email" dataDxfId="43"/>
    <tableColumn id="4" xr3:uid="{842A10DD-1F38-4C5D-8EFB-A221D293F165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41" dataDxfId="40">
  <autoFilter ref="D5:H15" xr:uid="{A12D6322-E072-4CD6-B243-64F6749A3BC8}"/>
  <tableColumns count="5">
    <tableColumn id="1" xr3:uid="{C918567B-AA6D-4722-901E-0B9DF50E02B0}" name="HSN Code" dataDxfId="39"/>
    <tableColumn id="2" xr3:uid="{C2C48FD5-FD9B-4E3C-98B8-D75FB6A2077A}" name="Product Name" dataDxfId="38"/>
    <tableColumn id="3" xr3:uid="{A07A3EE5-3FD1-4333-9581-2DDCDB3D7A8A}" name="Vendor Name" dataDxfId="37"/>
    <tableColumn id="4" xr3:uid="{8A74C083-67EC-4C86-BFF4-993ECEB89735}" name="Phone" dataDxfId="36"/>
    <tableColumn id="5" xr3:uid="{1193D20E-2B1E-4EA8-90A8-30BDFF23CFCB}" name="Address" dataDxfId="3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34">
  <autoFilter ref="D5:G15" xr:uid="{B32B01B6-81F6-4929-A637-9CA357EBE280}"/>
  <tableColumns count="4">
    <tableColumn id="1" xr3:uid="{08EDD484-6CDD-4BC0-91E5-06E7A4DE9FDA}" name="HSN Code" dataDxfId="33"/>
    <tableColumn id="2" xr3:uid="{62C7355B-8C5F-4CA0-84C6-CD709FC19FDF}" name="Product Name" dataDxfId="32"/>
    <tableColumn id="3" xr3:uid="{D65B4A46-653D-4F59-B768-AC754E8555A1}" name="Cost" dataDxfId="31"/>
    <tableColumn id="4" xr3:uid="{6028FF07-9D22-4D25-A68E-76575D20E9CB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29" dataDxfId="28">
  <autoFilter ref="D5:J22" xr:uid="{7F69DB1B-F78C-440F-8379-D74F3737A441}"/>
  <tableColumns count="7">
    <tableColumn id="1" xr3:uid="{281F2F20-031A-4206-BE02-B74A64165CDE}" name="HSN Code" dataDxfId="27"/>
    <tableColumn id="2" xr3:uid="{58E6BB63-F36F-47AB-8E5F-3D0968883888}" name="Product Name" dataDxfId="26">
      <calculatedColumnFormula>IFERROR(VLOOKUP(purchase[[#This Row],[HSN Code]],Table4[#All],2,0),"")</calculatedColumnFormula>
    </tableColumn>
    <tableColumn id="3" xr3:uid="{C0D568B3-CC9D-4E41-9E03-F05F5F4B75AE}" name="Vendor" dataDxfId="25">
      <calculatedColumnFormula>IFERROR(VLOOKUP(purchase[[#This Row],[HSN Code]],vendorsdata[#All],3,0),"")</calculatedColumnFormula>
    </tableColumn>
    <tableColumn id="4" xr3:uid="{E7264B9C-1D7E-4A57-935A-E4EDF2794062}" name="Date" dataDxfId="24"/>
    <tableColumn id="5" xr3:uid="{C70A9A5A-AF9E-4E17-855D-CFA6DC456170}" name="Units" dataDxfId="23"/>
    <tableColumn id="6" xr3:uid="{313BBF4F-C6E1-4967-9FE1-5BB23793BA88}" name="Cost" dataDxfId="22">
      <calculatedColumnFormula>IFERROR(VLOOKUP(purchase[[#This Row],[HSN Code]],Table4[#All],3,0),"")</calculatedColumnFormula>
    </tableColumn>
    <tableColumn id="7" xr3:uid="{F7BEFE5D-F2EE-41A6-9CE6-265FCB997B14}" name="Amount" dataDxfId="21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2"/>
    <tableColumn id="6" xr3:uid="{D17F4138-C7C6-406B-A63C-90F1DDCFBEBF}" name="Stock(Units)" dataDxfId="3">
      <calculatedColumnFormula>IFERROR(VLOOKUP(sales[[#This Row],[HSN Code]],Table7[[#All],[HSN Code]:[Stock]],6,0),"")</calculatedColumnFormula>
    </tableColumn>
    <tableColumn id="7" xr3:uid="{C7B052F3-CCF7-4E96-877D-3F26A203BDFF}" name="Units" dataDxfId="1"/>
    <tableColumn id="8" xr3:uid="{02D41819-BB7A-46F6-BD5C-0188DF9772A0}" name="Price" dataDxfId="14">
      <calculatedColumnFormula>IFERROR(VLOOKUP(sales[[#This Row],[HSN Code]],Table4[#All],4,0),"")</calculatedColumnFormula>
    </tableColumn>
    <tableColumn id="9" xr3:uid="{2FB962C8-D7FC-4E2D-8174-D8A15E771C1B}" name="Amount" dataDxfId="13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12" dataDxfId="11">
  <autoFilter ref="D5:K18" xr:uid="{09F3C46D-4B6E-4F1F-BC80-5D1AE2A51D2B}"/>
  <tableColumns count="8">
    <tableColumn id="1" xr3:uid="{FEA2C901-8333-45F5-AD7B-289B7EEB07A3}" name="HSN Code" dataDxfId="10">
      <calculatedColumnFormula>IFERROR(Table4[[#This Row],[HSN Code]],"")</calculatedColumnFormula>
    </tableColumn>
    <tableColumn id="2" xr3:uid="{5B409354-BCF7-4A87-B8A5-ECC6BA2FC4E7}" name="Product Name" dataDxfId="9">
      <calculatedColumnFormula>IFERROR(Table4[[#This Row],[Product Name]],"")</calculatedColumnFormula>
    </tableColumn>
    <tableColumn id="3" xr3:uid="{33A3B97F-F797-48FB-B05C-5FC1D76C4611}" name="Cost" dataDxfId="8">
      <calculatedColumnFormula>IFERROR(Table4[[#This Row],[Cost]],"")</calculatedColumnFormula>
    </tableColumn>
    <tableColumn id="4" xr3:uid="{81A9F783-F5A1-42A4-A34C-E453BEBBC4DA}" name="P Units" dataDxfId="7">
      <calculatedColumnFormula>SUMIF(purchase[Product Name],Table7[[#This Row],[Product Name]],purchase[Units])</calculatedColumnFormula>
    </tableColumn>
    <tableColumn id="5" xr3:uid="{482669EB-EC97-42F4-B888-565CCCD2CC30}" name="S Units" dataDxfId="6">
      <calculatedColumnFormula>SUMIF(sales[Product Name],Table7[[#This Row],[Product Name]],sales[Units])</calculatedColumnFormula>
    </tableColumn>
    <tableColumn id="6" xr3:uid="{7C00E586-B911-4250-82F9-09788CBA5FE0}" name="Stock" dataDxfId="5">
      <calculatedColumnFormula>Table7[[#This Row],[P Units]]-Table7[[#This Row],[S Units]]</calculatedColumnFormula>
    </tableColumn>
    <tableColumn id="8" xr3:uid="{2D8C8997-402C-47FE-A877-DACA414D2822}" name="Stock Amt." dataDxfId="0">
      <calculatedColumnFormula>IFERROR(Table7[[#This Row],[Cost]]*Table7[[#This Row],[Stock]],"")</calculatedColumnFormula>
    </tableColumn>
    <tableColumn id="7" xr3:uid="{E0C323AF-E1F3-4B76-AAA2-29F55812982A}" name="notifications" dataDxfId="4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1:O20"/>
  <sheetViews>
    <sheetView showGridLines="0" showRowColHeaders="0" tabSelected="1" zoomScaleNormal="100" workbookViewId="0">
      <selection activeCell="H25" sqref="H25"/>
    </sheetView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7" width="8.796875" style="1"/>
    <col min="8" max="8" width="14.3984375" style="1" customWidth="1"/>
    <col min="9" max="9" width="25.84765625" style="1" customWidth="1"/>
    <col min="10" max="16384" width="8.796875" style="1"/>
  </cols>
  <sheetData>
    <row r="1" spans="2:15" x14ac:dyDescent="0.6">
      <c r="B1" s="1"/>
    </row>
    <row r="2" spans="2:15" x14ac:dyDescent="0.6">
      <c r="B2" s="13"/>
      <c r="O2" s="2"/>
    </row>
    <row r="3" spans="2:15" x14ac:dyDescent="0.6">
      <c r="B3" s="14"/>
    </row>
    <row r="4" spans="2:15" x14ac:dyDescent="0.6">
      <c r="B4" s="14"/>
    </row>
    <row r="5" spans="2:15" x14ac:dyDescent="0.6">
      <c r="B5" s="14"/>
    </row>
    <row r="6" spans="2:15" x14ac:dyDescent="0.6">
      <c r="B6" s="14"/>
    </row>
    <row r="7" spans="2:15" x14ac:dyDescent="0.6">
      <c r="B7" s="14"/>
      <c r="I7" s="18" t="s">
        <v>79</v>
      </c>
    </row>
    <row r="8" spans="2:15" x14ac:dyDescent="0.6">
      <c r="B8" s="14"/>
      <c r="I8" s="16" t="str" cm="1">
        <f t="array" ref="I8:I11">_xlfn._xlws.FILTER(Table7[notifications],Table7[notifications]&lt;&gt;"")</f>
        <v>📞 Smart Watch Needs To Re-Order ! PH. 9812xxxxxx</v>
      </c>
    </row>
    <row r="9" spans="2:15" x14ac:dyDescent="0.6">
      <c r="B9" s="14"/>
      <c r="I9" s="16" t="str">
        <v>📞 Laptop HP xyz i5 Needs To Re-Order ! PH. 9812xxxxxx</v>
      </c>
    </row>
    <row r="10" spans="2:15" x14ac:dyDescent="0.6">
      <c r="B10" s="14" t="s">
        <v>0</v>
      </c>
      <c r="I10" s="16" t="str">
        <v>📞 Speakers Needs To Re-Order ! PH. 9814xxxxxx</v>
      </c>
    </row>
    <row r="11" spans="2:15" x14ac:dyDescent="0.6">
      <c r="B11" s="14"/>
      <c r="I11" s="16" t="str">
        <v>📞 Tablets Needs To Re-Order ! PH. 9814xxxxxx</v>
      </c>
    </row>
    <row r="12" spans="2:15" x14ac:dyDescent="0.6">
      <c r="B12" s="14"/>
      <c r="I12" s="16"/>
    </row>
    <row r="13" spans="2:15" x14ac:dyDescent="0.6">
      <c r="B13" s="14"/>
      <c r="I13" s="16"/>
    </row>
    <row r="14" spans="2:15" x14ac:dyDescent="0.6">
      <c r="B14" s="14"/>
      <c r="I14" s="16"/>
    </row>
    <row r="15" spans="2:15" x14ac:dyDescent="0.6">
      <c r="B15" s="14"/>
      <c r="I15" s="16"/>
    </row>
    <row r="16" spans="2:15" x14ac:dyDescent="0.6">
      <c r="B16" s="14"/>
      <c r="I16" s="16"/>
    </row>
    <row r="17" spans="2:9" x14ac:dyDescent="0.6">
      <c r="B17" s="14"/>
      <c r="I17" s="16"/>
    </row>
    <row r="18" spans="2:9" x14ac:dyDescent="0.6">
      <c r="B18" s="14"/>
      <c r="I18" s="16"/>
    </row>
    <row r="19" spans="2:9" x14ac:dyDescent="0.6">
      <c r="B19" s="15"/>
      <c r="I19" s="17"/>
    </row>
    <row r="20" spans="2:9" x14ac:dyDescent="0.6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zoomScale="85" zoomScaleNormal="85" workbookViewId="0"/>
  </sheetViews>
  <sheetFormatPr defaultRowHeight="26" x14ac:dyDescent="0.6"/>
  <cols>
    <col min="1" max="1" width="13.1484375" bestFit="1" customWidth="1"/>
    <col min="3" max="3" width="13.09765625" customWidth="1"/>
    <col min="5" max="5" width="13.69921875" bestFit="1" customWidth="1"/>
    <col min="6" max="6" width="11.5" bestFit="1" customWidth="1"/>
  </cols>
  <sheetData>
    <row r="2" spans="1:6" x14ac:dyDescent="0.6">
      <c r="A2" t="s">
        <v>80</v>
      </c>
      <c r="C2" t="s">
        <v>81</v>
      </c>
      <c r="E2" s="11" t="s">
        <v>91</v>
      </c>
      <c r="F2" t="s">
        <v>84</v>
      </c>
    </row>
    <row r="3" spans="1:6" x14ac:dyDescent="0.6">
      <c r="A3" s="20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6">
      <c r="E4" s="12" t="s">
        <v>20</v>
      </c>
      <c r="F4" s="9">
        <v>362400</v>
      </c>
    </row>
    <row r="5" spans="1:6" x14ac:dyDescent="0.6">
      <c r="A5" t="s">
        <v>82</v>
      </c>
      <c r="C5" t="s">
        <v>83</v>
      </c>
      <c r="E5" s="12" t="s">
        <v>17</v>
      </c>
      <c r="F5" s="9">
        <v>405096</v>
      </c>
    </row>
    <row r="6" spans="1:6" x14ac:dyDescent="0.6">
      <c r="A6" s="20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6">
      <c r="E7" s="12" t="s">
        <v>14</v>
      </c>
      <c r="F7" s="9">
        <v>1400292</v>
      </c>
    </row>
    <row r="8" spans="1:6" x14ac:dyDescent="0.6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6">
      <c r="A9" s="9">
        <v>5543995</v>
      </c>
      <c r="C9" s="10">
        <f>GETPIVOTDATA("Amount",$A$8)</f>
        <v>5543995</v>
      </c>
    </row>
    <row r="11" spans="1:6" x14ac:dyDescent="0.6">
      <c r="A11" t="s">
        <v>84</v>
      </c>
      <c r="C11" t="s">
        <v>86</v>
      </c>
    </row>
    <row r="12" spans="1:6" x14ac:dyDescent="0.6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6">
      <c r="E13" s="12" t="s">
        <v>35</v>
      </c>
      <c r="F13" s="20">
        <v>14</v>
      </c>
    </row>
    <row r="14" spans="1:6" x14ac:dyDescent="0.6">
      <c r="E14" s="12" t="s">
        <v>48</v>
      </c>
      <c r="F14" s="20">
        <v>37</v>
      </c>
    </row>
    <row r="15" spans="1:6" x14ac:dyDescent="0.6">
      <c r="E15" s="12" t="s">
        <v>54</v>
      </c>
      <c r="F15" s="20">
        <v>42</v>
      </c>
    </row>
    <row r="16" spans="1:6" x14ac:dyDescent="0.6">
      <c r="A16" t="s">
        <v>88</v>
      </c>
      <c r="C16" t="s">
        <v>89</v>
      </c>
      <c r="E16" s="12" t="s">
        <v>59</v>
      </c>
      <c r="F16" s="20">
        <v>52</v>
      </c>
    </row>
    <row r="17" spans="1:6" x14ac:dyDescent="0.6">
      <c r="A17" s="20">
        <v>2984097</v>
      </c>
      <c r="C17" s="10">
        <f>GETPIVOTDATA("Stock Amt.",$A$16)</f>
        <v>2984097</v>
      </c>
      <c r="E17" s="12" t="s">
        <v>41</v>
      </c>
      <c r="F17" s="20">
        <v>65</v>
      </c>
    </row>
    <row r="18" spans="1:6" x14ac:dyDescent="0.6">
      <c r="E18" s="12" t="s">
        <v>92</v>
      </c>
      <c r="F18" s="20">
        <v>210</v>
      </c>
    </row>
    <row r="19" spans="1:6" x14ac:dyDescent="0.6">
      <c r="C19" t="s">
        <v>90</v>
      </c>
    </row>
    <row r="20" spans="1:6" x14ac:dyDescent="0.6">
      <c r="C20" s="10">
        <f>C12+C17-C9</f>
        <v>511979.59999999963</v>
      </c>
    </row>
    <row r="21" spans="1:6" x14ac:dyDescent="0.6">
      <c r="E21" s="11" t="s">
        <v>91</v>
      </c>
      <c r="F21" t="s">
        <v>94</v>
      </c>
    </row>
    <row r="22" spans="1:6" x14ac:dyDescent="0.6">
      <c r="E22" s="12" t="s">
        <v>51</v>
      </c>
      <c r="F22" s="20">
        <v>14</v>
      </c>
    </row>
    <row r="23" spans="1:6" x14ac:dyDescent="0.6">
      <c r="E23" s="12" t="s">
        <v>41</v>
      </c>
      <c r="F23" s="20">
        <v>35</v>
      </c>
    </row>
    <row r="24" spans="1:6" x14ac:dyDescent="0.6">
      <c r="E24" s="12" t="s">
        <v>54</v>
      </c>
      <c r="F24" s="20">
        <v>13</v>
      </c>
    </row>
    <row r="25" spans="1:6" x14ac:dyDescent="0.6">
      <c r="E25" s="12" t="s">
        <v>35</v>
      </c>
      <c r="F25" s="20">
        <v>16</v>
      </c>
    </row>
    <row r="26" spans="1:6" x14ac:dyDescent="0.6">
      <c r="E26" s="12" t="s">
        <v>45</v>
      </c>
      <c r="F26" s="20">
        <v>20</v>
      </c>
    </row>
    <row r="27" spans="1:6" x14ac:dyDescent="0.6">
      <c r="E27" s="12" t="s">
        <v>48</v>
      </c>
      <c r="F27" s="20">
        <v>13</v>
      </c>
    </row>
    <row r="28" spans="1:6" x14ac:dyDescent="0.6">
      <c r="E28" s="12" t="s">
        <v>31</v>
      </c>
      <c r="F28" s="20">
        <v>36</v>
      </c>
    </row>
    <row r="29" spans="1:6" x14ac:dyDescent="0.6">
      <c r="E29" s="12" t="s">
        <v>59</v>
      </c>
      <c r="F29" s="20">
        <v>3</v>
      </c>
    </row>
    <row r="30" spans="1:6" x14ac:dyDescent="0.6">
      <c r="E30" s="12" t="s">
        <v>62</v>
      </c>
      <c r="F30" s="20">
        <v>32</v>
      </c>
    </row>
    <row r="31" spans="1:6" x14ac:dyDescent="0.6">
      <c r="E31" s="12" t="s">
        <v>38</v>
      </c>
      <c r="F31" s="20">
        <v>35</v>
      </c>
    </row>
    <row r="32" spans="1:6" x14ac:dyDescent="0.6">
      <c r="E32" s="12" t="s">
        <v>92</v>
      </c>
      <c r="F32" s="20">
        <v>217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Normal="10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 customWidth="1"/>
    <col min="5" max="8" width="15.64843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6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6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6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6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6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6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6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8" width="13.7968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6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6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6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6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6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6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6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6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6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6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5.75" style="1" customWidth="1"/>
    <col min="6" max="6" width="9.6484375" style="1" bestFit="1" customWidth="1"/>
    <col min="7" max="7" width="9.796875" style="1" customWidth="1"/>
    <col min="8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6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6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6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6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6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6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6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6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6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6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7.25" style="1" customWidth="1"/>
    <col min="6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</row>
    <row r="6" spans="2:17" x14ac:dyDescent="0.6">
      <c r="B6" s="14"/>
      <c r="E6" s="6" t="s">
        <v>66</v>
      </c>
    </row>
    <row r="7" spans="2:17" x14ac:dyDescent="0.6">
      <c r="B7" s="14"/>
    </row>
    <row r="8" spans="2:17" x14ac:dyDescent="0.6">
      <c r="B8" s="14"/>
      <c r="E8" s="6" t="s">
        <v>67</v>
      </c>
    </row>
    <row r="9" spans="2:17" x14ac:dyDescent="0.6">
      <c r="B9" s="14"/>
    </row>
    <row r="10" spans="2:17" x14ac:dyDescent="0.6">
      <c r="B10" s="14" t="s">
        <v>0</v>
      </c>
    </row>
    <row r="11" spans="2:17" x14ac:dyDescent="0.6">
      <c r="B11" s="14"/>
    </row>
    <row r="12" spans="2:17" x14ac:dyDescent="0.6">
      <c r="B12" s="14"/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 customWidth="1"/>
    <col min="5" max="6" width="12.6484375" style="1" customWidth="1"/>
    <col min="7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6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 x14ac:dyDescent="0.6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 x14ac:dyDescent="0.6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 x14ac:dyDescent="0.6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 x14ac:dyDescent="0.6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6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 x14ac:dyDescent="0.6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6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 x14ac:dyDescent="0.6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 x14ac:dyDescent="0.6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 x14ac:dyDescent="0.6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 x14ac:dyDescent="0.6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 x14ac:dyDescent="0.6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 x14ac:dyDescent="0.6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 x14ac:dyDescent="0.6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 x14ac:dyDescent="0.6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 x14ac:dyDescent="0.6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 x14ac:dyDescent="0.6">
      <c r="B23" s="8"/>
    </row>
    <row r="24" spans="2:10" x14ac:dyDescent="0.6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5.546875" style="1" customWidth="1"/>
    <col min="5" max="5" width="9.34765625" style="1" customWidth="1"/>
    <col min="6" max="6" width="6.94921875" style="1" customWidth="1"/>
    <col min="7" max="7" width="11.1484375" style="1" customWidth="1"/>
    <col min="8" max="8" width="8.796875" style="1" customWidth="1"/>
    <col min="9" max="9" width="8.5" style="1" customWidth="1"/>
    <col min="10" max="10" width="4.84765625" style="1" customWidth="1"/>
    <col min="11" max="11" width="6.6484375" style="1" customWidth="1"/>
    <col min="12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6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 x14ac:dyDescent="0.6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 x14ac:dyDescent="0.6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 x14ac:dyDescent="0.6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 x14ac:dyDescent="0.6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 x14ac:dyDescent="0.6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 x14ac:dyDescent="0.6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 x14ac:dyDescent="0.6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 x14ac:dyDescent="0.6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 x14ac:dyDescent="0.6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 x14ac:dyDescent="0.6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 x14ac:dyDescent="0.6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 x14ac:dyDescent="0.6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 x14ac:dyDescent="0.6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 x14ac:dyDescent="0.6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 x14ac:dyDescent="0.6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 x14ac:dyDescent="0.6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5.046875" style="1" customWidth="1"/>
    <col min="6" max="6" width="8.25" style="1" customWidth="1"/>
    <col min="7" max="10" width="8.796875" style="1"/>
    <col min="11" max="11" width="27.6484375" style="1" hidden="1" customWidth="1"/>
    <col min="12" max="12" width="2.8984375" style="1" customWidth="1"/>
    <col min="13" max="16384" width="8.796875" style="1"/>
  </cols>
  <sheetData>
    <row r="1" spans="2:18" x14ac:dyDescent="0.6">
      <c r="B1" s="1"/>
    </row>
    <row r="2" spans="2:18" x14ac:dyDescent="0.6">
      <c r="B2" s="13"/>
      <c r="R2" s="2"/>
    </row>
    <row r="3" spans="2:18" x14ac:dyDescent="0.6">
      <c r="B3" s="14"/>
    </row>
    <row r="4" spans="2:18" x14ac:dyDescent="0.6">
      <c r="B4" s="14"/>
    </row>
    <row r="5" spans="2:18" x14ac:dyDescent="0.6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6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9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 x14ac:dyDescent="0.6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9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 x14ac:dyDescent="0.6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9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 x14ac:dyDescent="0.6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9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 x14ac:dyDescent="0.6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9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 x14ac:dyDescent="0.6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9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 x14ac:dyDescent="0.6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9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 x14ac:dyDescent="0.6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9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 x14ac:dyDescent="0.6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9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 x14ac:dyDescent="0.6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9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 x14ac:dyDescent="0.6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9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 x14ac:dyDescent="0.6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9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 x14ac:dyDescent="0.6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9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 x14ac:dyDescent="0.6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 x14ac:dyDescent="0.6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 x14ac:dyDescent="0.6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 x14ac:dyDescent="0.6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 x14ac:dyDescent="0.6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Sheet9</vt:lpstr>
      <vt:lpstr>Customers</vt:lpstr>
      <vt:lpstr>Vendors</vt:lpstr>
      <vt:lpstr>Products</vt:lpstr>
      <vt:lpstr>New Entry</vt:lpstr>
      <vt:lpstr>Purchase</vt:lpstr>
      <vt:lpstr>Sales</vt:lpstr>
      <vt:lpstr>Inventory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deep nehra</cp:lastModifiedBy>
  <dcterms:created xsi:type="dcterms:W3CDTF">2024-12-16T07:21:07Z</dcterms:created>
  <dcterms:modified xsi:type="dcterms:W3CDTF">2024-12-18T09:09:28Z</dcterms:modified>
</cp:coreProperties>
</file>